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s\Desktop\projetoDIO\"/>
    </mc:Choice>
  </mc:AlternateContent>
  <xr:revisionPtr revIDLastSave="0" documentId="13_ncr:1_{6A8FB1A8-6F9B-4157-94A3-2FA3B9F355AE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20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<sst xmlns="http://schemas.openxmlformats.org/spreadsheetml/2006/main" count="2021" uniqueCount="323">
  <si>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</si>
  <si>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</si>
  <si>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</si>
  <si>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</si>
  <si>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</si>
  <si>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</si>
  <si>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</si>
  <si>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</si>
  <si>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</si>
  <si>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</si>
  <si>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</si>
  <si>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</si>
  <si>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</si>
  <si>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</si>
  <si>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</si>
  <si>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</si>
  <si>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</si>
  <si>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</si>
  <si>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</si>
  <si>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</si>
  <si>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</si>
  <si>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</si>
  <si>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</si>
  <si>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</si>
  <si>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</si>
  <si>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</si>
  <si>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</si>
  <si>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</si>
  <si>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</si>
  <si>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</si>
  <si>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</si>
  <si>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</si>
  <si>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</si>
  <si>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</si>
  <si>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</si>
  <si>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</si>
  <si>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</si>
  <si>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</si>
  <si>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</si>
  <si>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</si>
  <si>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</si>
  <si>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</si>
  <si>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</si>
  <si>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</si>
  <si>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</si>
  <si>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</si>
  <si>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</si>
  <si>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</si>
  <si>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</si>
  <si>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</si>
  <si>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</si>
  <si>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</si>
  <si>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</si>
  <si>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</si>
  <si>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</si>
  <si>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</si>
  <si>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</si>
  <si>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</si>
  <si>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</si>
  <si>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</si>
  <si>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</si>
  <si>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</si>
  <si>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</si>
  <si>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</si>
  <si>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</si>
  <si>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</si>
  <si>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</si>
  <si>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</si>
  <si>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</si>
  <si>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</si>
  <si>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</si>
  <si>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</si>
  <si>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</si>
  <si>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</si>
  <si>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</si>
  <si>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</si>
  <si>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</si>
  <si>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</si>
  <si>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</si>
  <si>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</si>
  <si>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</si>
  <si>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</si>
  <si>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</si>
  <si>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</si>
  <si>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</si>
  <si>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</si>
  <si>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</si>
  <si>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</si>
  <si>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</si>
  <si>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</si>
  <si>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</si>
  <si>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</si>
  <si>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</si>
  <si>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</si>
  <si>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</si>
  <si>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</si>
  <si>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</si>
  <si>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</si>
  <si>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</si>
  <si>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</si>
  <si>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</si>
  <si>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</si>
  <si>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</si>
  <si>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</si>
  <si>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</si>
  <si>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</si>
  <si>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</si>
  <si>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</si>
  <si>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</si>
  <si>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</si>
  <si>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</si>
  <si>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</si>
  <si>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</si>
  <si>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</si>
  <si>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</si>
  <si>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</si>
  <si>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</si>
  <si>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</si>
  <si>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</si>
  <si>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</si>
  <si>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</si>
  <si>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</si>
  <si>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</si>
  <si>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</si>
  <si>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</si>
  <si>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</si>
  <si>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</si>
  <si>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</si>
  <si>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</si>
  <si>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</si>
  <si>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</si>
  <si>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</si>
  <si>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</si>
  <si>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</si>
  <si>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</si>
  <si>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</si>
  <si>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</si>
  <si>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</si>
  <si>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</si>
  <si>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</si>
  <si>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</si>
  <si>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</si>
  <si>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</si>
  <si>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</si>
  <si>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</si>
  <si>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</si>
  <si>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</si>
  <si>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</si>
  <si>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</si>
  <si>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</si>
  <si>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</si>
  <si>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</si>
  <si>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</si>
  <si>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</si>
  <si>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</si>
  <si>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</si>
  <si>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</si>
  <si>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</si>
  <si>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</si>
  <si>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</si>
  <si>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</si>
  <si>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</si>
  <si>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</si>
  <si>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</si>
  <si>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</si>
  <si>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</si>
  <si>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</si>
  <si>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</si>
  <si>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</si>
  <si>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</si>
  <si>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</si>
  <si>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</si>
  <si>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</si>
  <si>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</si>
  <si>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</si>
  <si>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</si>
  <si>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</si>
  <si>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</si>
  <si>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</si>
  <si>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</si>
  <si>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</si>
  <si>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</si>
  <si>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</si>
  <si>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</si>
  <si>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</si>
  <si>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</si>
  <si>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</si>
  <si>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</si>
  <si>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</si>
  <si>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</si>
  <si>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</si>
  <si>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</si>
  <si>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</si>
  <si>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</si>
  <si>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</si>
  <si>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</si>
  <si>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</si>
  <si>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</si>
  <si>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</si>
  <si>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</si>
  <si>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</si>
  <si>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</si>
  <si>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</si>
  <si>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</si>
  <si>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</si>
  <si>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</si>
  <si>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</si>
  <si>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</si>
  <si>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</si>
  <si>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</si>
  <si>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</si>
  <si>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</si>
  <si>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</si>
  <si>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</si>
  <si>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</si>
  <si>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</si>
  <si>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</si>
  <si>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</si>
  <si>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</si>
  <si>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</si>
  <si>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</si>
  <si>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</si>
  <si>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</si>
  <si>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</si>
  <si>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</si>
  <si>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</si>
  <si>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</si>
  <si>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</si>
  <si>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</si>
  <si>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</si>
  <si>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</si>
  <si>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</si>
  <si>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</si>
  <si>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</si>
  <si>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</si>
  <si>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</si>
  <si>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</si>
  <si>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</si>
  <si>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</si>
  <si>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</si>
  <si>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</si>
  <si>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</si>
  <si>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</si>
  <si>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</si>
  <si>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</si>
  <si>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</si>
  <si>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</si>
  <si>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</si>
  <si>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</si>
  <si>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</si>
  <si>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</si>
  <si>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</si>
  <si>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</si>
  <si>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</si>
  <si>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</si>
  <si>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</si>
  <si>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</si>
  <si>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</si>
  <si>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</si>
  <si>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</si>
  <si>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</si>
  <si>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</si>
  <si>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</si>
  <si>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</si>
  <si>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</si>
  <si>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</si>
  <si>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</si>
  <si>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</si>
  <si>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</si>
  <si>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</si>
  <si>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</si>
  <si>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</si>
  <si>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</si>
  <si>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</si>
  <si>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</si>
  <si>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</si>
  <si>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</si>
  <si>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</si>
  <si>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</si>
  <si>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</si>
  <si>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</si>
  <si>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</si>
  <si>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</si>
  <si>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</si>
  <si>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</si>
  <si>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</si>
  <si>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</si>
  <si>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</si>
  <si>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</si>
  <si>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</si>
  <si>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</si>
  <si>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</si>
  <si>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</si>
  <si>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</si>
  <si>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</si>
  <si>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</si>
  <si>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</si>
  <si>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</si>
  <si>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</si>
  <si>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</si>
  <si>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</si>
  <si>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</si>
  <si>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</si>
  <si>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</si>
  <si>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</si>
  <si>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</si>
  <si>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</si>
  <si>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</si>
  <si>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</si>
  <si>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</si>
  <si>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</si>
  <si>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</si>
  <si>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</si>
  <si>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</t>
  </si>
  <si>
    <t xml:space="preserve">Total de vendas dos planos anuais com as assinaturas agregadas, diferenciados por com auto renovação ou sem </t>
  </si>
  <si>
    <t>Soma de Total Value</t>
  </si>
  <si>
    <t>Rótulos de Linha</t>
  </si>
  <si>
    <t>Total Geral</t>
  </si>
  <si>
    <t>XBOX GAME PASS SUBSCRIPTION SALES</t>
  </si>
  <si>
    <t>Total de vendas dos planos da EA season</t>
  </si>
  <si>
    <t>Soma de EA Play Season Pass</t>
  </si>
  <si>
    <t>Total de vendas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</si>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</sst>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Segoe UI"/>
      <family val="2"/>
    </font>
    <font>
      <b/>
      <sz val="15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2" xfId="1" applyFont="1" applyFill="1" applyBorder="1"/>
    <xf numFmtId="0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4" fillId="0" borderId="2" xfId="1" applyFont="1" applyFill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/>
        <i val="0"/>
        <color auto="1"/>
      </font>
      <fill>
        <patternFill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94B3A7D7-BEFA-45E1-AD24-292826E85154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[dashboard_xbox.xlsx]C̳álculos!tbl_total_vendas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9-4F1F-AB62-2C7D655FC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3213920"/>
        <c:axId val="309595440"/>
      </c:barChart>
      <c:catAx>
        <c:axId val="39321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595440"/>
        <c:crosses val="autoZero"/>
        <c:auto val="1"/>
        <c:lblAlgn val="ctr"/>
        <c:lblOffset val="100"/>
        <c:noMultiLvlLbl val="0"/>
      </c:catAx>
      <c:valAx>
        <c:axId val="3095954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9321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107570</xdr:colOff>
      <xdr:row>1</xdr:row>
      <xdr:rowOff>140805</xdr:rowOff>
    </xdr:from>
    <xdr:to>
      <xdr:col>2</xdr:col>
      <xdr:colOff>356907</xdr:colOff>
      <xdr:row>2</xdr:row>
      <xdr:rowOff>115957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DB9617-D404-4474-8D65-67746BA877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3" t="23765" r="73597" b="23505"/>
        <a:stretch>
          <a:fillRect/>
        </a:stretch>
      </xdr:blipFill>
      <xdr:spPr>
        <a:xfrm>
          <a:off x="2401853" y="331305"/>
          <a:ext cx="489532" cy="521804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38101</xdr:colOff>
      <xdr:row>7</xdr:row>
      <xdr:rowOff>342900</xdr:rowOff>
    </xdr:from>
    <xdr:to>
      <xdr:col>0</xdr:col>
      <xdr:colOff>2247901</xdr:colOff>
      <xdr:row>14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F8A36B6D-82C3-4FA3-97EF-1B65EB55C0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1" y="1692965"/>
              <a:ext cx="2209800" cy="1260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216176</xdr:colOff>
      <xdr:row>15</xdr:row>
      <xdr:rowOff>171037</xdr:rowOff>
    </xdr:from>
    <xdr:to>
      <xdr:col>15</xdr:col>
      <xdr:colOff>442592</xdr:colOff>
      <xdr:row>31</xdr:row>
      <xdr:rowOff>60464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A68BBF27-AB80-E4C8-574E-537C45C6664A}"/>
            </a:ext>
          </a:extLst>
        </xdr:cNvPr>
        <xdr:cNvGrpSpPr/>
      </xdr:nvGrpSpPr>
      <xdr:grpSpPr>
        <a:xfrm>
          <a:off x="2510459" y="3277015"/>
          <a:ext cx="8260546" cy="2937427"/>
          <a:chOff x="2428875" y="1323975"/>
          <a:chExt cx="4619625" cy="29337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B919C3F8-465D-A996-8462-0847A0105843}"/>
              </a:ext>
            </a:extLst>
          </xdr:cNvPr>
          <xdr:cNvSpPr/>
        </xdr:nvSpPr>
        <xdr:spPr>
          <a:xfrm>
            <a:off x="2428875" y="1323975"/>
            <a:ext cx="4619625" cy="2933700"/>
          </a:xfrm>
          <a:prstGeom prst="roundRect">
            <a:avLst>
              <a:gd name="adj" fmla="val 656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3632ECA4-0BD9-4481-8410-76476F80307A}"/>
              </a:ext>
            </a:extLst>
          </xdr:cNvPr>
          <xdr:cNvGraphicFramePr>
            <a:graphicFrameLocks/>
          </xdr:cNvGraphicFramePr>
        </xdr:nvGraphicFramePr>
        <xdr:xfrm>
          <a:off x="2446687" y="141822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2</xdr:col>
      <xdr:colOff>10768</xdr:colOff>
      <xdr:row>6</xdr:row>
      <xdr:rowOff>104361</xdr:rowOff>
    </xdr:from>
    <xdr:to>
      <xdr:col>8</xdr:col>
      <xdr:colOff>258940</xdr:colOff>
      <xdr:row>14</xdr:row>
      <xdr:rowOff>103947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22575D9-E5DE-6782-7027-FAF852D98D86}"/>
            </a:ext>
          </a:extLst>
        </xdr:cNvPr>
        <xdr:cNvGrpSpPr/>
      </xdr:nvGrpSpPr>
      <xdr:grpSpPr>
        <a:xfrm>
          <a:off x="2545246" y="1330187"/>
          <a:ext cx="3925651" cy="1689238"/>
          <a:chOff x="7456833" y="1388165"/>
          <a:chExt cx="3925651" cy="168923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3805D65E-FEEE-C837-81DB-067462C2BAE1}"/>
              </a:ext>
            </a:extLst>
          </xdr:cNvPr>
          <xdr:cNvSpPr/>
        </xdr:nvSpPr>
        <xdr:spPr>
          <a:xfrm>
            <a:off x="7456833" y="1388165"/>
            <a:ext cx="3922643" cy="1689238"/>
          </a:xfrm>
          <a:prstGeom prst="roundRect">
            <a:avLst>
              <a:gd name="adj" fmla="val 1102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E208846-2F20-27F0-2E78-B641096F8AD4}"/>
              </a:ext>
            </a:extLst>
          </xdr:cNvPr>
          <xdr:cNvSpPr/>
        </xdr:nvSpPr>
        <xdr:spPr>
          <a:xfrm>
            <a:off x="8975449" y="1920116"/>
            <a:ext cx="2146852" cy="92392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109E276-685F-4FC8-B602-20244C58B098}" type="TxLink">
              <a:rPr lang="en-US" sz="20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R$ 1.350,00</a:t>
            </a:fld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98DBD50C-C276-06A7-9C32-2CDF794CD304}"/>
              </a:ext>
            </a:extLst>
          </xdr:cNvPr>
          <xdr:cNvSpPr/>
        </xdr:nvSpPr>
        <xdr:spPr>
          <a:xfrm>
            <a:off x="7457836" y="1389669"/>
            <a:ext cx="3924648" cy="384313"/>
          </a:xfrm>
          <a:prstGeom prst="round2SameRect">
            <a:avLst>
              <a:gd name="adj1" fmla="val 25829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- EA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3E652F8C-A30D-4A69-8262-3AEA068946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11109" y="1772478"/>
            <a:ext cx="1219200" cy="1219200"/>
          </a:xfrm>
          <a:prstGeom prst="rect">
            <a:avLst/>
          </a:prstGeom>
        </xdr:spPr>
      </xdr:pic>
    </xdr:grpSp>
    <xdr:clientData/>
  </xdr:twoCellAnchor>
  <xdr:twoCellAnchor editAs="absolute">
    <xdr:from>
      <xdr:col>9</xdr:col>
      <xdr:colOff>22363</xdr:colOff>
      <xdr:row>6</xdr:row>
      <xdr:rowOff>115957</xdr:rowOff>
    </xdr:from>
    <xdr:to>
      <xdr:col>15</xdr:col>
      <xdr:colOff>444471</xdr:colOff>
      <xdr:row>14</xdr:row>
      <xdr:rowOff>115543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4688177-EC2F-88E7-3E89-CFB12DB7062A}"/>
            </a:ext>
          </a:extLst>
        </xdr:cNvPr>
        <xdr:cNvGrpSpPr/>
      </xdr:nvGrpSpPr>
      <xdr:grpSpPr>
        <a:xfrm>
          <a:off x="6847233" y="1341783"/>
          <a:ext cx="3925651" cy="1689238"/>
          <a:chOff x="7460146" y="3371022"/>
          <a:chExt cx="3925651" cy="1689238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E59926AA-B8B5-0CF6-C36B-FC4C8ACEFE84}"/>
              </a:ext>
            </a:extLst>
          </xdr:cNvPr>
          <xdr:cNvSpPr/>
        </xdr:nvSpPr>
        <xdr:spPr>
          <a:xfrm>
            <a:off x="7460146" y="3371022"/>
            <a:ext cx="3922643" cy="1689238"/>
          </a:xfrm>
          <a:prstGeom prst="roundRect">
            <a:avLst>
              <a:gd name="adj" fmla="val 1102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1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4FE5EAD9-AF9F-E8A4-368F-64B52265E762}"/>
              </a:ext>
            </a:extLst>
          </xdr:cNvPr>
          <xdr:cNvSpPr/>
        </xdr:nvSpPr>
        <xdr:spPr>
          <a:xfrm>
            <a:off x="9078154" y="3902973"/>
            <a:ext cx="2146852" cy="92392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6FDBEF-58E8-44B4-89A5-45F11C701BE0}" type="TxLink">
              <a:rPr lang="en-US" sz="20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R$ 1.800,00</a:t>
            </a:fld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2BD7742D-21BB-515B-D094-6A3D405ED27E}"/>
              </a:ext>
            </a:extLst>
          </xdr:cNvPr>
          <xdr:cNvSpPr/>
        </xdr:nvSpPr>
        <xdr:spPr>
          <a:xfrm>
            <a:off x="7461149" y="3372526"/>
            <a:ext cx="3924648" cy="384313"/>
          </a:xfrm>
          <a:prstGeom prst="round2SameRect">
            <a:avLst>
              <a:gd name="adj1" fmla="val 25829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- MINECRAFT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EB7C5D0F-BFEF-43A7-84B8-6130290DC6A3}"/>
              </a:ext>
            </a:extLst>
          </xdr:cNvPr>
          <xdr:cNvGrpSpPr/>
        </xdr:nvGrpSpPr>
        <xdr:grpSpPr>
          <a:xfrm>
            <a:off x="7628284" y="4033631"/>
            <a:ext cx="1364425" cy="662609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34BF40F6-D5A0-46AC-8EE0-9B45881FB9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53DFC254-0A51-7903-E96B-E925FE110D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216175</xdr:colOff>
      <xdr:row>15</xdr:row>
      <xdr:rowOff>171037</xdr:rowOff>
    </xdr:from>
    <xdr:to>
      <xdr:col>15</xdr:col>
      <xdr:colOff>447260</xdr:colOff>
      <xdr:row>17</xdr:row>
      <xdr:rowOff>174350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310E7613-0C56-429A-9B6B-7B889073DEA0}"/>
            </a:ext>
          </a:extLst>
        </xdr:cNvPr>
        <xdr:cNvSpPr/>
      </xdr:nvSpPr>
      <xdr:spPr>
        <a:xfrm>
          <a:off x="2510458" y="3277015"/>
          <a:ext cx="8265215" cy="384313"/>
        </a:xfrm>
        <a:prstGeom prst="round2SameRect">
          <a:avLst>
            <a:gd name="adj1" fmla="val 25829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TOTAL SUBSCRIPTIONS  XBOX GAME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PASS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654223</xdr:colOff>
      <xdr:row>1</xdr:row>
      <xdr:rowOff>59138</xdr:rowOff>
    </xdr:from>
    <xdr:to>
      <xdr:col>0</xdr:col>
      <xdr:colOff>1499153</xdr:colOff>
      <xdr:row>5</xdr:row>
      <xdr:rowOff>1264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40AD8283-EB91-4750-B856-FC91E276B190}"/>
            </a:ext>
          </a:extLst>
        </xdr:cNvPr>
        <xdr:cNvSpPr/>
      </xdr:nvSpPr>
      <xdr:spPr>
        <a:xfrm>
          <a:off x="654223" y="249638"/>
          <a:ext cx="844930" cy="84493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496957</xdr:colOff>
      <xdr:row>5</xdr:row>
      <xdr:rowOff>74543</xdr:rowOff>
    </xdr:from>
    <xdr:ext cx="1231106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C2F731DF-5E45-EDD1-A493-C9C8F921DFC2}"/>
            </a:ext>
          </a:extLst>
        </xdr:cNvPr>
        <xdr:cNvSpPr txBox="1"/>
      </xdr:nvSpPr>
      <xdr:spPr>
        <a:xfrm>
          <a:off x="496957" y="1167847"/>
          <a:ext cx="12311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Bem</a:t>
          </a:r>
          <a:r>
            <a:rPr lang="pt-BR" sz="1100" baseline="0">
              <a:solidFill>
                <a:schemeClr val="bg1"/>
              </a:solidFill>
            </a:rPr>
            <a:t> vindo Fulano!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144117</xdr:colOff>
      <xdr:row>3</xdr:row>
      <xdr:rowOff>28160</xdr:rowOff>
    </xdr:from>
    <xdr:ext cx="4154727" cy="248851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F2126725-6F7E-0540-272C-6CEBAD765EAC}"/>
            </a:ext>
          </a:extLst>
        </xdr:cNvPr>
        <xdr:cNvSpPr txBox="1"/>
      </xdr:nvSpPr>
      <xdr:spPr>
        <a:xfrm>
          <a:off x="2438400" y="914399"/>
          <a:ext cx="415472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00">
              <a:solidFill>
                <a:schemeClr val="bg1">
                  <a:lumMod val="50000"/>
                </a:schemeClr>
              </a:solidFill>
            </a:rPr>
            <a:t>Calculation</a:t>
          </a:r>
          <a:r>
            <a:rPr lang="pt-BR" sz="1000" baseline="0">
              <a:solidFill>
                <a:schemeClr val="bg1">
                  <a:lumMod val="50000"/>
                </a:schemeClr>
              </a:solidFill>
            </a:rPr>
            <a:t> period: 01/01/2024 - 31/12/24 | Last updated: 12/10/2026 - 15:16</a:t>
          </a:r>
          <a:endParaRPr lang="pt-BR" sz="100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zo Santiago de Souza" refreshedDate="46307.529465277781" createdVersion="8" refreshedVersion="8" minRefreshableVersion="3" recordCount="295" xr:uid="{C670D251-A254-41E2-A8C5-58FBEE79644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755230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2D5C7-09A5-4FBE-97B1-7392E0CE49C8}" name="Tabela dinâmica3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AC406-4F05-4F65-BA24-0444286EE028}" name="Tabela dinâmica2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16:C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2FB12-7B84-4A88-AF28-5D009C1C03C7}" name="tbl_total_vendas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6:C9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8DA368F-88B6-43DE-8683-E661E66FDF47}" sourceName="Subscription Type">
  <pivotTables>
    <pivotTable tabId="3" name="tbl_total_vendas"/>
    <pivotTable tabId="3" name="Tabela dinâmica2"/>
    <pivotTable tabId="3" name="Tabela dinâmica3"/>
  </pivotTables>
  <data>
    <tabular pivotCacheId="275523044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5D5F419-5DDA-4CD4-9CD4-AB5DCAE62FBB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31"/>
  <sheetViews>
    <sheetView showGridLines="0" topLeftCell="A7" zoomScaleNormal="100" workbookViewId="0">
      <selection activeCell="D30" sqref="D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  <row r="31" spans="2:8" x14ac:dyDescent="0.25">
      <c r="D31" t="s">
        <v>313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0" sqref="D3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1"/>
  <sheetViews>
    <sheetView showGridLines="0" workbookViewId="0">
      <selection activeCell="D30" sqref="D3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314</v>
      </c>
    </row>
    <row r="4" spans="2:3" x14ac:dyDescent="0.25">
      <c r="B4" s="13" t="s">
        <v>16</v>
      </c>
      <c r="C4" t="s">
        <v>20</v>
      </c>
    </row>
    <row r="6" spans="2:3" x14ac:dyDescent="0.25">
      <c r="B6" s="13" t="s">
        <v>316</v>
      </c>
      <c r="C6" t="s">
        <v>315</v>
      </c>
    </row>
    <row r="7" spans="2:3" x14ac:dyDescent="0.25">
      <c r="B7" s="14" t="s">
        <v>23</v>
      </c>
      <c r="C7" s="12">
        <v>2824</v>
      </c>
    </row>
    <row r="8" spans="2:3" x14ac:dyDescent="0.25">
      <c r="B8" s="14" t="s">
        <v>19</v>
      </c>
      <c r="C8" s="12">
        <v>747</v>
      </c>
    </row>
    <row r="9" spans="2:3" x14ac:dyDescent="0.25">
      <c r="B9" s="14" t="s">
        <v>317</v>
      </c>
      <c r="C9" s="12">
        <v>3571</v>
      </c>
    </row>
    <row r="12" spans="2:3" x14ac:dyDescent="0.25">
      <c r="B12" s="14" t="s">
        <v>319</v>
      </c>
    </row>
    <row r="14" spans="2:3" x14ac:dyDescent="0.25">
      <c r="B14" s="13" t="s">
        <v>16</v>
      </c>
      <c r="C14" t="s">
        <v>20</v>
      </c>
    </row>
    <row r="16" spans="2:3" x14ac:dyDescent="0.25">
      <c r="B16" s="13" t="s">
        <v>316</v>
      </c>
      <c r="C16" t="s">
        <v>320</v>
      </c>
    </row>
    <row r="17" spans="2:4" x14ac:dyDescent="0.25">
      <c r="B17" s="14" t="s">
        <v>22</v>
      </c>
      <c r="C17" s="16">
        <v>0</v>
      </c>
    </row>
    <row r="18" spans="2:4" x14ac:dyDescent="0.25">
      <c r="B18" s="14" t="s">
        <v>26</v>
      </c>
      <c r="C18" s="16">
        <v>0</v>
      </c>
    </row>
    <row r="19" spans="2:4" x14ac:dyDescent="0.25">
      <c r="B19" s="14" t="s">
        <v>18</v>
      </c>
      <c r="C19" s="16">
        <v>1350</v>
      </c>
    </row>
    <row r="20" spans="2:4" x14ac:dyDescent="0.25">
      <c r="B20" s="14" t="s">
        <v>317</v>
      </c>
      <c r="C20" s="16">
        <v>1350</v>
      </c>
      <c r="D20" s="17">
        <f>GETPIVOTDATA("EA Play Season Pass
Price",$B$16)</f>
        <v>1350</v>
      </c>
    </row>
    <row r="23" spans="2:4" x14ac:dyDescent="0.25">
      <c r="B23" s="14" t="s">
        <v>321</v>
      </c>
    </row>
    <row r="25" spans="2:4" x14ac:dyDescent="0.25">
      <c r="B25" s="13" t="s">
        <v>16</v>
      </c>
      <c r="C25" t="s">
        <v>20</v>
      </c>
    </row>
    <row r="27" spans="2:4" x14ac:dyDescent="0.25">
      <c r="B27" s="13" t="s">
        <v>316</v>
      </c>
      <c r="C27" t="s">
        <v>322</v>
      </c>
    </row>
    <row r="28" spans="2:4" x14ac:dyDescent="0.25">
      <c r="B28" s="14" t="s">
        <v>22</v>
      </c>
      <c r="C28" s="12">
        <v>0</v>
      </c>
    </row>
    <row r="29" spans="2:4" x14ac:dyDescent="0.25">
      <c r="B29" s="14" t="s">
        <v>26</v>
      </c>
      <c r="C29" s="12">
        <v>900</v>
      </c>
    </row>
    <row r="30" spans="2:4" x14ac:dyDescent="0.25">
      <c r="B30" s="14" t="s">
        <v>18</v>
      </c>
      <c r="C30" s="12">
        <v>900</v>
      </c>
    </row>
    <row r="31" spans="2:4" x14ac:dyDescent="0.25">
      <c r="B31" s="14" t="s">
        <v>317</v>
      </c>
      <c r="C31" s="12">
        <v>1800</v>
      </c>
      <c r="D31" s="18">
        <f>GETPIVOTDATA("Minecraft Season Pass Price",$B$27)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I101"/>
  <sheetViews>
    <sheetView showGridLines="0" showRowColHeaders="0" tabSelected="1" zoomScale="115" zoomScaleNormal="115" workbookViewId="0">
      <selection activeCell="Q21" sqref="Q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4.42578125" style="4" customWidth="1"/>
    <col min="2" max="2" width="3.5703125" customWidth="1"/>
    <col min="12" max="12" width="6.5703125" customWidth="1"/>
  </cols>
  <sheetData>
    <row r="2" spans="1:9" ht="42.75" customHeight="1" thickBot="1" x14ac:dyDescent="0.5">
      <c r="C2" s="19" t="s">
        <v>318</v>
      </c>
      <c r="D2" s="15"/>
      <c r="E2" s="15"/>
      <c r="F2" s="15"/>
      <c r="G2" s="15"/>
      <c r="H2" s="15"/>
      <c r="I2" s="15"/>
    </row>
    <row r="3" spans="1:9" ht="12" customHeight="1" thickTop="1" x14ac:dyDescent="0.25"/>
    <row r="4" spans="1:9" s="7" customFormat="1" ht="8.25" customHeight="1" x14ac:dyDescent="0.25">
      <c r="A4" s="4"/>
    </row>
    <row r="5" spans="1:9" s="7" customFormat="1" ht="7.5" customHeight="1" x14ac:dyDescent="0.25">
      <c r="A5" s="4"/>
    </row>
    <row r="6" spans="1:9" s="7" customFormat="1" ht="10.5" customHeight="1" x14ac:dyDescent="0.25">
      <c r="A6" s="4"/>
    </row>
    <row r="7" spans="1:9" s="7" customFormat="1" ht="9.75" customHeight="1" x14ac:dyDescent="0.25">
      <c r="A7" s="4"/>
    </row>
    <row r="8" spans="1:9" s="7" customFormat="1" ht="33" customHeight="1" x14ac:dyDescent="0.25">
      <c r="A8" s="4"/>
    </row>
    <row r="9" spans="1:9" s="7" customFormat="1" x14ac:dyDescent="0.25">
      <c r="A9" s="4"/>
    </row>
    <row r="10" spans="1:9" s="7" customFormat="1" x14ac:dyDescent="0.25">
      <c r="A10" s="4"/>
    </row>
    <row r="11" spans="1:9" s="7" customFormat="1" x14ac:dyDescent="0.25">
      <c r="A11" s="4"/>
    </row>
    <row r="12" spans="1:9" s="7" customFormat="1" x14ac:dyDescent="0.25">
      <c r="A12" s="4"/>
    </row>
    <row r="13" spans="1:9" s="7" customFormat="1" x14ac:dyDescent="0.25">
      <c r="A13" s="4"/>
    </row>
    <row r="14" spans="1:9" s="7" customFormat="1" x14ac:dyDescent="0.25">
      <c r="A14" s="4"/>
    </row>
    <row r="15" spans="1:9" s="7" customFormat="1" x14ac:dyDescent="0.25">
      <c r="A15" s="4"/>
    </row>
    <row r="16" spans="1: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Enzo Santiago de Souza</cp:lastModifiedBy>
  <dcterms:created xsi:type="dcterms:W3CDTF">2024-12-19T13:13:10Z</dcterms:created>
  <dcterms:modified xsi:type="dcterms:W3CDTF">2026-10-12T18:17:51Z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